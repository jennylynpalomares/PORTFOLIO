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ing Tracker" sheetId="1" state="visible" r:id="rId3"/>
    <sheet name="Summary Dashboard" sheetId="2" state="visible" r:id="rId4"/>
  </sheets>
  <definedNames>
    <definedName function="false" hidden="true" localSheetId="0" name="_xlnm._FilterDatabase" vbProcedure="false">'Aging Tracker'!$A$1:$N$9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<sst xmlns="http://schemas.openxmlformats.org/spreadsheetml/2006/main" count="71" uniqueCount="60">
  <si>
    <t xml:space="preserve">Patient/Account Name</t>
  </si>
  <si>
    <t xml:space="preserve">Insurance Company</t>
  </si>
  <si>
    <t xml:space="preserve">Claim/Invoice #</t>
  </si>
  <si>
    <t xml:space="preserve">Charge Date</t>
  </si>
  <si>
    <t xml:space="preserve">Amount Billed</t>
  </si>
  <si>
    <t xml:space="preserve">Amount Paid</t>
  </si>
  <si>
    <t xml:space="preserve">Balance Due</t>
  </si>
  <si>
    <t xml:space="preserve">Days Outstanding</t>
  </si>
  <si>
    <t xml:space="preserve">Aging Bucket</t>
  </si>
  <si>
    <t xml:space="preserve">Last Follow-Up Date</t>
  </si>
  <si>
    <t xml:space="preserve">Next Follow-Up Due</t>
  </si>
  <si>
    <t xml:space="preserve">Follow-Up Needed?</t>
  </si>
  <si>
    <t xml:space="preserve">Status</t>
  </si>
  <si>
    <t xml:space="preserve">Notes</t>
  </si>
  <si>
    <t xml:space="preserve">Miller, R.</t>
  </si>
  <si>
    <t xml:space="preserve">Blue Shield PPO</t>
  </si>
  <si>
    <t xml:space="preserve">CLM-10234</t>
  </si>
  <si>
    <t xml:space="preserve">Open</t>
  </si>
  <si>
    <t xml:space="preserve">Awaiting initial response</t>
  </si>
  <si>
    <t xml:space="preserve">Nguyen, T.</t>
  </si>
  <si>
    <t xml:space="preserve">Aetna HMO</t>
  </si>
  <si>
    <t xml:space="preserve">CLM-10198</t>
  </si>
  <si>
    <t xml:space="preserve">Partial payment posted</t>
  </si>
  <si>
    <t xml:space="preserve">Osei, K.</t>
  </si>
  <si>
    <t xml:space="preserve">United Health</t>
  </si>
  <si>
    <t xml:space="preserve">CLM-10122</t>
  </si>
  <si>
    <t xml:space="preserve">Claim under review by payer</t>
  </si>
  <si>
    <t xml:space="preserve">Alvarez, D.</t>
  </si>
  <si>
    <t xml:space="preserve">Cigna PPO</t>
  </si>
  <si>
    <t xml:space="preserve">CLM-10087</t>
  </si>
  <si>
    <t xml:space="preserve">Resolved</t>
  </si>
  <si>
    <t xml:space="preserve">Paid in full</t>
  </si>
  <si>
    <t xml:space="preserve">Park, S.</t>
  </si>
  <si>
    <t xml:space="preserve">CLM-10061</t>
  </si>
  <si>
    <t xml:space="preserve">No response after 2 calls</t>
  </si>
  <si>
    <t xml:space="preserve">Whitfield, J.</t>
  </si>
  <si>
    <t xml:space="preserve">CLM-10029</t>
  </si>
  <si>
    <t xml:space="preserve">Disputing allowed amount</t>
  </si>
  <si>
    <t xml:space="preserve">Reyes, M.</t>
  </si>
  <si>
    <t xml:space="preserve">CLM-09988</t>
  </si>
  <si>
    <t xml:space="preserve">Escalated to supervisor</t>
  </si>
  <si>
    <t xml:space="preserve">Carter, B.</t>
  </si>
  <si>
    <t xml:space="preserve">CLM-09955</t>
  </si>
  <si>
    <t xml:space="preserve">Over 45 days - needs follow-up</t>
  </si>
  <si>
    <t xml:space="preserve">Aging Report — Summary Dashboard</t>
  </si>
  <si>
    <t xml:space="preserve">Metric</t>
  </si>
  <si>
    <t xml:space="preserve">Value</t>
  </si>
  <si>
    <t xml:space="preserve">Total Open Accounts</t>
  </si>
  <si>
    <t xml:space="preserve">Total Balance Due (Open)</t>
  </si>
  <si>
    <t xml:space="preserve">Accounts Needing Follow-Up (&gt;45 days)</t>
  </si>
  <si>
    <t xml:space="preserve">% of Open Accounts Over 45 Days</t>
  </si>
  <si>
    <t xml:space="preserve">Aging Bucket Breakdown</t>
  </si>
  <si>
    <t xml:space="preserve">Bucket</t>
  </si>
  <si>
    <t xml:space="preserve"># Accounts</t>
  </si>
  <si>
    <t xml:space="preserve">0-30</t>
  </si>
  <si>
    <t xml:space="preserve">31-45</t>
  </si>
  <si>
    <t xml:space="preserve">46-60</t>
  </si>
  <si>
    <t xml:space="preserve">61-90</t>
  </si>
  <si>
    <t xml:space="preserve">90+</t>
  </si>
  <si>
    <t xml:space="preserve">Note: Days Outstanding and buckets recalculate automatically based on today's date (TODAY()).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</si>
</sst>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/dd/yyyy"/>
    <numFmt numFmtId="166" formatCode="\$#,##0.00;&quot;($&quot;#,##0.00\);\-"/>
    <numFmt numFmtId="167" formatCode="0"/>
    <numFmt numFmtId="168" formatCode="General"/>
    <numFmt numFmtId="169" formatCode="\$#,##0.00"/>
    <numFmt numFmtId="170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A273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2733"/>
        <bgColor rgb="FF333300"/>
      </patternFill>
    </fill>
    <fill>
      <patternFill patternType="solid">
        <fgColor rgb="FFF2F5F8"/>
        <bgColor rgb="FFFFFFFF"/>
      </patternFill>
    </fill>
    <fill>
      <patternFill patternType="solid">
        <fgColor rgb="FF44566B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A2733"/>
          <bgColor rgb="FF000000"/>
        </patternFill>
      </fill>
    </dxf>
    <dxf>
      <fill>
        <patternFill patternType="solid">
          <fgColor rgb="FFF2F5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BD5D5"/>
          <bgColor rgb="FF000000"/>
        </patternFill>
      </fill>
    </dxf>
    <dxf>
      <fill>
        <patternFill patternType="solid">
          <fgColor rgb="FFD5F5DD"/>
          <bgColor rgb="FF000000"/>
        </patternFill>
      </fill>
    </dxf>
    <dxf>
      <fill>
        <patternFill>
          <bgColor rgb="FFFBD5D5"/>
        </patternFill>
      </fill>
    </dxf>
    <dxf>
      <fill>
        <patternFill>
          <bgColor rgb="FFD5F5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DD"/>
      <rgbColor rgb="FFFFFF99"/>
      <rgbColor rgb="FF99CCFF"/>
      <rgbColor rgb="FFFF99CC"/>
      <rgbColor rgb="FFCC99FF"/>
      <rgbColor rgb="FFFBD5D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44566B"/>
      <rgbColor rgb="FF1A27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7" min="4" style="0" width="13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2" min="10" style="0" width="16"/>
    <col collapsed="false" customWidth="true" hidden="false" outlineLevel="0" max="13" min="13" style="0" width="12"/>
    <col collapsed="false" customWidth="true" hidden="false" outlineLevel="0" max="14" min="14" style="0" width="2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  <c r="D2" s="3" t="n">
        <v>46201</v>
      </c>
      <c r="E2" s="4" t="n">
        <v>420</v>
      </c>
      <c r="F2" s="4" t="n">
        <v>0</v>
      </c>
      <c r="G2" s="4" t="n">
        <f aca="false">E2-F2</f>
        <v>420</v>
      </c>
      <c r="H2" s="5" t="n">
        <f aca="true">TODAY()-D2</f>
        <v>9</v>
      </c>
      <c r="I2" s="2" t="str">
        <f aca="false">IF(H2&lt;=30,"0-30",IF(H2&lt;=45,"31-45",IF(H2&lt;=60,"46-60",IF(H2&lt;=90,"61-90","90+"))))</f>
        <v>0-30</v>
      </c>
      <c r="J2" s="2"/>
      <c r="K2" s="3" t="n">
        <f aca="false">IF(J2="",D2+45,J2+7)</f>
        <v>46246</v>
      </c>
      <c r="L2" s="2" t="str">
        <f aca="false">IF(AND(M2&lt;&gt;"Resolved",H2&gt;45),"YES","No")</f>
        <v>No</v>
      </c>
      <c r="M2" s="2" t="s">
        <v>17</v>
      </c>
      <c r="N2" s="2" t="s">
        <v>18</v>
      </c>
    </row>
    <row r="3" customFormat="false" ht="15" hidden="false" customHeight="false" outlineLevel="0" collapsed="false">
      <c r="A3" s="6" t="s">
        <v>19</v>
      </c>
      <c r="B3" s="6" t="s">
        <v>20</v>
      </c>
      <c r="C3" s="6" t="s">
        <v>21</v>
      </c>
      <c r="D3" s="7" t="n">
        <v>46183</v>
      </c>
      <c r="E3" s="8" t="n">
        <v>185.5</v>
      </c>
      <c r="F3" s="8" t="n">
        <v>100</v>
      </c>
      <c r="G3" s="8" t="n">
        <f aca="false">E3-F3</f>
        <v>85.5</v>
      </c>
      <c r="H3" s="9" t="n">
        <f aca="true">TODAY()-D3</f>
        <v>27</v>
      </c>
      <c r="I3" s="6" t="str">
        <f aca="false">IF(H3&lt;=30,"0-30",IF(H3&lt;=45,"31-45",IF(H3&lt;=60,"46-60",IF(H3&lt;=90,"61-90","90+"))))</f>
        <v>0-30</v>
      </c>
      <c r="J3" s="7" t="n">
        <v>46198</v>
      </c>
      <c r="K3" s="7" t="n">
        <f aca="false">IF(J3="",D3+45,J3+7)</f>
        <v>46205</v>
      </c>
      <c r="L3" s="6" t="str">
        <f aca="false">IF(AND(M3&lt;&gt;"Resolved",H3&gt;45),"YES","No")</f>
        <v>No</v>
      </c>
      <c r="M3" s="6" t="s">
        <v>17</v>
      </c>
      <c r="N3" s="6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3" t="n">
        <v>46162</v>
      </c>
      <c r="E4" s="4" t="n">
        <v>960</v>
      </c>
      <c r="F4" s="4" t="n">
        <v>0</v>
      </c>
      <c r="G4" s="4" t="n">
        <f aca="false">E4-F4</f>
        <v>960</v>
      </c>
      <c r="H4" s="5" t="n">
        <f aca="true">TODAY()-D4</f>
        <v>48</v>
      </c>
      <c r="I4" s="2" t="str">
        <f aca="false">IF(H4&lt;=30,"0-30",IF(H4&lt;=45,"31-45",IF(H4&lt;=60,"46-60",IF(H4&lt;=90,"61-90","90+"))))</f>
        <v>46-60</v>
      </c>
      <c r="J4" s="3" t="n">
        <v>46188</v>
      </c>
      <c r="K4" s="3" t="n">
        <f aca="false">IF(J4="",D4+45,J4+7)</f>
        <v>46195</v>
      </c>
      <c r="L4" s="2" t="str">
        <f aca="false">IF(AND(M4&lt;&gt;"Resolved",H4&gt;45),"YES","No")</f>
        <v>YES</v>
      </c>
      <c r="M4" s="2" t="s">
        <v>17</v>
      </c>
      <c r="N4" s="2" t="s">
        <v>26</v>
      </c>
    </row>
    <row r="5" customFormat="false" ht="15" hidden="false" customHeight="false" outlineLevel="0" collapsed="false">
      <c r="A5" s="6" t="s">
        <v>27</v>
      </c>
      <c r="B5" s="6" t="s">
        <v>28</v>
      </c>
      <c r="C5" s="6" t="s">
        <v>29</v>
      </c>
      <c r="D5" s="7" t="n">
        <v>46144</v>
      </c>
      <c r="E5" s="8" t="n">
        <v>275</v>
      </c>
      <c r="F5" s="8" t="n">
        <v>275</v>
      </c>
      <c r="G5" s="8" t="n">
        <f aca="false">E5-F5</f>
        <v>0</v>
      </c>
      <c r="H5" s="9" t="n">
        <f aca="true">TODAY()-D5</f>
        <v>66</v>
      </c>
      <c r="I5" s="6" t="str">
        <f aca="false">IF(H5&lt;=30,"0-30",IF(H5&lt;=45,"31-45",IF(H5&lt;=60,"46-60",IF(H5&lt;=90,"61-90","90+"))))</f>
        <v>61-90</v>
      </c>
      <c r="J5" s="6"/>
      <c r="K5" s="7" t="n">
        <f aca="false">IF(J5="",D5+45,J5+7)</f>
        <v>46189</v>
      </c>
      <c r="L5" s="6" t="str">
        <f aca="false">IF(AND(M5&lt;&gt;"Resolved",H5&gt;45),"YES","No")</f>
        <v>No</v>
      </c>
      <c r="M5" s="6" t="s">
        <v>30</v>
      </c>
      <c r="N5" s="6" t="s">
        <v>31</v>
      </c>
    </row>
    <row r="6" customFormat="false" ht="15" hidden="false" customHeight="false" outlineLevel="0" collapsed="false">
      <c r="A6" s="2" t="s">
        <v>32</v>
      </c>
      <c r="B6" s="2" t="s">
        <v>15</v>
      </c>
      <c r="C6" s="2" t="s">
        <v>33</v>
      </c>
      <c r="D6" s="3" t="n">
        <v>46130</v>
      </c>
      <c r="E6" s="4" t="n">
        <v>540</v>
      </c>
      <c r="F6" s="4" t="n">
        <v>0</v>
      </c>
      <c r="G6" s="4" t="n">
        <f aca="false">E6-F6</f>
        <v>540</v>
      </c>
      <c r="H6" s="5" t="n">
        <f aca="true">TODAY()-D6</f>
        <v>80</v>
      </c>
      <c r="I6" s="2" t="str">
        <f aca="false">IF(H6&lt;=30,"0-30",IF(H6&lt;=45,"31-45",IF(H6&lt;=60,"46-60",IF(H6&lt;=90,"61-90","90+"))))</f>
        <v>61-90</v>
      </c>
      <c r="J6" s="3" t="n">
        <v>46172</v>
      </c>
      <c r="K6" s="3" t="n">
        <f aca="false">IF(J6="",D6+45,J6+7)</f>
        <v>46179</v>
      </c>
      <c r="L6" s="2" t="str">
        <f aca="false">IF(AND(M6&lt;&gt;"Resolved",H6&gt;45),"YES","No")</f>
        <v>YES</v>
      </c>
      <c r="M6" s="2" t="s">
        <v>17</v>
      </c>
      <c r="N6" s="2" t="s">
        <v>34</v>
      </c>
    </row>
    <row r="7" customFormat="false" ht="15" hidden="false" customHeight="false" outlineLevel="0" collapsed="false">
      <c r="A7" s="6" t="s">
        <v>35</v>
      </c>
      <c r="B7" s="6" t="s">
        <v>20</v>
      </c>
      <c r="C7" s="6" t="s">
        <v>36</v>
      </c>
      <c r="D7" s="7" t="n">
        <v>46110</v>
      </c>
      <c r="E7" s="8" t="n">
        <v>1200</v>
      </c>
      <c r="F7" s="8" t="n">
        <v>300</v>
      </c>
      <c r="G7" s="8" t="n">
        <f aca="false">E7-F7</f>
        <v>900</v>
      </c>
      <c r="H7" s="9" t="n">
        <f aca="true">TODAY()-D7</f>
        <v>100</v>
      </c>
      <c r="I7" s="6" t="str">
        <f aca="false">IF(H7&lt;=30,"0-30",IF(H7&lt;=45,"31-45",IF(H7&lt;=60,"46-60",IF(H7&lt;=90,"61-90","90+"))))</f>
        <v>90+</v>
      </c>
      <c r="J7" s="7" t="n">
        <v>46152</v>
      </c>
      <c r="K7" s="7" t="n">
        <f aca="false">IF(J7="",D7+45,J7+7)</f>
        <v>46159</v>
      </c>
      <c r="L7" s="6" t="str">
        <f aca="false">IF(AND(M7&lt;&gt;"Resolved",H7&gt;45),"YES","No")</f>
        <v>YES</v>
      </c>
      <c r="M7" s="6" t="s">
        <v>17</v>
      </c>
      <c r="N7" s="6" t="s">
        <v>37</v>
      </c>
    </row>
    <row r="8" customFormat="false" ht="15" hidden="false" customHeight="false" outlineLevel="0" collapsed="false">
      <c r="A8" s="2" t="s">
        <v>38</v>
      </c>
      <c r="B8" s="2" t="s">
        <v>24</v>
      </c>
      <c r="C8" s="2" t="s">
        <v>39</v>
      </c>
      <c r="D8" s="3" t="n">
        <v>46091</v>
      </c>
      <c r="E8" s="4" t="n">
        <v>310</v>
      </c>
      <c r="F8" s="4" t="n">
        <v>0</v>
      </c>
      <c r="G8" s="4" t="n">
        <f aca="false">E8-F8</f>
        <v>310</v>
      </c>
      <c r="H8" s="5" t="n">
        <f aca="true">TODAY()-D8</f>
        <v>119</v>
      </c>
      <c r="I8" s="2" t="str">
        <f aca="false">IF(H8&lt;=30,"0-30",IF(H8&lt;=45,"31-45",IF(H8&lt;=60,"46-60",IF(H8&lt;=90,"61-90","90+"))))</f>
        <v>90+</v>
      </c>
      <c r="J8" s="3" t="n">
        <v>46132</v>
      </c>
      <c r="K8" s="3" t="n">
        <f aca="false">IF(J8="",D8+45,J8+7)</f>
        <v>46139</v>
      </c>
      <c r="L8" s="2" t="str">
        <f aca="false">IF(AND(M8&lt;&gt;"Resolved",H8&gt;45),"YES","No")</f>
        <v>YES</v>
      </c>
      <c r="M8" s="2" t="s">
        <v>17</v>
      </c>
      <c r="N8" s="2" t="s">
        <v>40</v>
      </c>
    </row>
    <row r="9" customFormat="false" ht="15" hidden="false" customHeight="false" outlineLevel="0" collapsed="false">
      <c r="A9" s="6" t="s">
        <v>41</v>
      </c>
      <c r="B9" s="6" t="s">
        <v>28</v>
      </c>
      <c r="C9" s="6" t="s">
        <v>42</v>
      </c>
      <c r="D9" s="7" t="n">
        <v>46068</v>
      </c>
      <c r="E9" s="8" t="n">
        <v>690</v>
      </c>
      <c r="F9" s="8" t="n">
        <v>0</v>
      </c>
      <c r="G9" s="8" t="n">
        <f aca="false">E9-F9</f>
        <v>690</v>
      </c>
      <c r="H9" s="9" t="n">
        <f aca="true">TODAY()-D9</f>
        <v>142</v>
      </c>
      <c r="I9" s="6" t="str">
        <f aca="false">IF(H9&lt;=30,"0-30",IF(H9&lt;=45,"31-45",IF(H9&lt;=60,"46-60",IF(H9&lt;=90,"61-90","90+"))))</f>
        <v>90+</v>
      </c>
      <c r="J9" s="7" t="n">
        <v>46113</v>
      </c>
      <c r="K9" s="7" t="n">
        <f aca="false">IF(J9="",D9+45,J9+7)</f>
        <v>46120</v>
      </c>
      <c r="L9" s="6" t="str">
        <f aca="false">IF(AND(M9&lt;&gt;"Resolved",H9&gt;45),"YES","No")</f>
        <v>YES</v>
      </c>
      <c r="M9" s="6" t="s">
        <v>17</v>
      </c>
      <c r="N9" s="6" t="s">
        <v>43</v>
      </c>
    </row>
  </sheetData>
  <autoFilter ref="A1:N9"/>
  <conditionalFormatting sqref="L2:L9">
    <cfRule type="expression" priority="2" aboveAverage="0" equalAverage="0" bottom="0" percent="0" rank="0" text="" dxfId="6">
      <formula>$L2="YES"</formula>
    </cfRule>
  </conditionalFormatting>
  <conditionalFormatting sqref="M2:M9">
    <cfRule type="expression" priority="3" aboveAverage="0" equalAverage="0" bottom="0" percent="0" rank="0" text="" dxfId="7">
      <formula>$M2="Resolved"</formula>
    </cfRule>
  </conditionalFormatting>
  <conditionalFormatting sqref="I2:I9">
    <cfRule type="expression" priority="4" aboveAverage="0" equalAverage="0" bottom="0" percent="0" rank="0" text="" dxfId="6">
      <formula>$I2="90+"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8"/>
  </cols>
  <sheetData>
    <row r="1" customFormat="false" ht="17.35" hidden="false" customHeight="false" outlineLevel="0" collapsed="false">
      <c r="A1" s="10" t="s">
        <v>44</v>
      </c>
      <c r="B1" s="10"/>
      <c r="C1" s="10"/>
    </row>
    <row r="3" customFormat="false" ht="15" hidden="false" customHeight="false" outlineLevel="0" collapsed="false">
      <c r="A3" s="11" t="s">
        <v>45</v>
      </c>
      <c r="B3" s="11" t="s">
        <v>46</v>
      </c>
    </row>
    <row r="4" customFormat="false" ht="15" hidden="false" customHeight="false" outlineLevel="0" collapsed="false">
      <c r="A4" s="12" t="s">
        <v>47</v>
      </c>
      <c r="B4" s="13" t="n">
        <f aca="false">COUNTIF('Aging Tracker'!M2:M9,"Open")</f>
        <v>7</v>
      </c>
    </row>
    <row r="5" customFormat="false" ht="15" hidden="false" customHeight="false" outlineLevel="0" collapsed="false">
      <c r="A5" s="12" t="s">
        <v>48</v>
      </c>
      <c r="B5" s="14" t="n">
        <f aca="false">SUMIF('Aging Tracker'!M2:M9,"Open",'Aging Tracker'!G2:G9)</f>
        <v>3905.5</v>
      </c>
    </row>
    <row r="6" customFormat="false" ht="15" hidden="false" customHeight="false" outlineLevel="0" collapsed="false">
      <c r="A6" s="12" t="s">
        <v>49</v>
      </c>
      <c r="B6" s="13" t="n">
        <f aca="false">COUNTIF('Aging Tracker'!L2:L9,"YES")</f>
        <v>5</v>
      </c>
    </row>
    <row r="7" customFormat="false" ht="15" hidden="false" customHeight="false" outlineLevel="0" collapsed="false">
      <c r="A7" s="12" t="s">
        <v>50</v>
      </c>
      <c r="B7" s="15" t="n">
        <f aca="false">IFERROR(COUNTIF('Aging Tracker'!L2:L9,"YES")/COUNTIF('Aging Tracker'!M2:M9,"Open"),0)</f>
        <v>0.714285714285714</v>
      </c>
    </row>
    <row r="9" customFormat="false" ht="15" hidden="false" customHeight="false" outlineLevel="0" collapsed="false">
      <c r="A9" s="16" t="s">
        <v>51</v>
      </c>
    </row>
    <row r="10" customFormat="false" ht="15" hidden="false" customHeight="false" outlineLevel="0" collapsed="false">
      <c r="A10" s="11" t="s">
        <v>52</v>
      </c>
      <c r="B10" s="11" t="s">
        <v>53</v>
      </c>
      <c r="C10" s="11" t="s">
        <v>6</v>
      </c>
    </row>
    <row r="11" customFormat="false" ht="15" hidden="false" customHeight="false" outlineLevel="0" collapsed="false">
      <c r="A11" s="12" t="s">
        <v>54</v>
      </c>
      <c r="B11" s="12" t="n">
        <f aca="false">COUNTIF('Aging Tracker'!I2:I9,A11)</f>
        <v>2</v>
      </c>
      <c r="C11" s="17" t="n">
        <f aca="false">SUMIF('Aging Tracker'!I2:I9,A11,'Aging Tracker'!G2:G9)</f>
        <v>505.5</v>
      </c>
    </row>
    <row r="12" customFormat="false" ht="15" hidden="false" customHeight="false" outlineLevel="0" collapsed="false">
      <c r="A12" s="12" t="s">
        <v>55</v>
      </c>
      <c r="B12" s="12" t="n">
        <f aca="false">COUNTIF('Aging Tracker'!I2:I9,A12)</f>
        <v>0</v>
      </c>
      <c r="C12" s="17" t="n">
        <f aca="false">SUMIF('Aging Tracker'!I2:I9,A12,'Aging Tracker'!G2:G9)</f>
        <v>0</v>
      </c>
    </row>
    <row r="13" customFormat="false" ht="15" hidden="false" customHeight="false" outlineLevel="0" collapsed="false">
      <c r="A13" s="12" t="s">
        <v>56</v>
      </c>
      <c r="B13" s="12" t="n">
        <f aca="false">COUNTIF('Aging Tracker'!I2:I9,A13)</f>
        <v>1</v>
      </c>
      <c r="C13" s="17" t="n">
        <f aca="false">SUMIF('Aging Tracker'!I2:I9,A13,'Aging Tracker'!G2:G9)</f>
        <v>960</v>
      </c>
    </row>
    <row r="14" customFormat="false" ht="15" hidden="false" customHeight="false" outlineLevel="0" collapsed="false">
      <c r="A14" s="12" t="s">
        <v>57</v>
      </c>
      <c r="B14" s="12" t="n">
        <f aca="false">COUNTIF('Aging Tracker'!I2:I9,A14)</f>
        <v>2</v>
      </c>
      <c r="C14" s="17" t="n">
        <f aca="false">SUMIF('Aging Tracker'!I2:I9,A14,'Aging Tracker'!G2:G9)</f>
        <v>540</v>
      </c>
    </row>
    <row r="15" customFormat="false" ht="15" hidden="false" customHeight="false" outlineLevel="0" collapsed="false">
      <c r="A15" s="12" t="s">
        <v>58</v>
      </c>
      <c r="B15" s="12" t="n">
        <f aca="false">COUNTIF('Aging Tracker'!I2:I9,A15)</f>
        <v>3</v>
      </c>
      <c r="C15" s="17" t="n">
        <f aca="false">SUMIF('Aging Tracker'!I2:I9,A15,'Aging Tracker'!G2:G9)</f>
        <v>1900</v>
      </c>
    </row>
    <row r="18" customFormat="false" ht="15" hidden="false" customHeight="false" outlineLevel="0" collapsed="false">
      <c r="A18" s="18" t="s">
        <v>59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2026-07-07T05:13:10Z</dcterms:created>
  <dc:creator>openpyxl</dc:creator>
  <dc:description/>
  <dc:language>en-US</dc:language>
  <cp:lastModifiedBy/>
  <dcterms:modified xsi:type="dcterms:W3CDTF">2026-07-07T05:13:10Z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